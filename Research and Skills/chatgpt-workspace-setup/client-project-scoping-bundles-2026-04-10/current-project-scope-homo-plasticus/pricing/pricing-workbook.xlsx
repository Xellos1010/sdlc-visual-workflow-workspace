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arket Rates" sheetId="1" state="visible" r:id="rId3"/>
    <sheet name="Phase Estimates" sheetId="2" state="visible" r:id="rId4"/>
    <sheet name="Invoice by Pha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<sst xmlns="http://schemas.openxmlformats.org/spreadsheetml/2006/main" count="65" uniqueCount="54">
  <si>
    <t xml:space="preserve">Workstream</t>
  </si>
  <si>
    <t xml:space="preserve">Standard Market Low</t>
  </si>
  <si>
    <t xml:space="preserve">Standard Market High</t>
  </si>
  <si>
    <t xml:space="preserve">Recommended Offer Low</t>
  </si>
  <si>
    <t xml:space="preserve">Recommended Offer High</t>
  </si>
  <si>
    <t xml:space="preserve">Notes</t>
  </si>
  <si>
    <t xml:space="preserve">Strategy / discovery sprint</t>
  </si>
  <si>
    <t xml:space="preserve">Higher because the engagement needs fast scoping and direction lock</t>
  </si>
  <si>
    <t xml:space="preserve">UI/UX design and wireframes</t>
  </si>
  <si>
    <t xml:space="preserve">Aligned to boutique design work rather than commodity production</t>
  </si>
  <si>
    <t xml:space="preserve">Frontend build / responsive implementation</t>
  </si>
  <si>
    <t xml:space="preserve">Blended from agency dev and senior freelance ranges</t>
  </si>
  <si>
    <t xml:space="preserve">CMS / admin dashboard</t>
  </si>
  <si>
    <t xml:space="preserve">Custom editing surface and workflow logic increase complexity</t>
  </si>
  <si>
    <t xml:space="preserve">Commerce / integrations</t>
  </si>
  <si>
    <t xml:space="preserve">Stripe, analytics, Mailchimp, and workflow wiring</t>
  </si>
  <si>
    <t xml:space="preserve">SEO / analytics implementation</t>
  </si>
  <si>
    <t xml:space="preserve">Technical SEO, GTM, GA4, metadata, and event mapping</t>
  </si>
  <si>
    <t xml:space="preserve">Phase</t>
  </si>
  <si>
    <t xml:space="preserve">Est. Hours Low</t>
  </si>
  <si>
    <t xml:space="preserve">Est. Hours High</t>
  </si>
  <si>
    <t xml:space="preserve">Market Blended Rate</t>
  </si>
  <si>
    <t xml:space="preserve">Offer Blended Rate</t>
  </si>
  <si>
    <t xml:space="preserve">Market Range Low</t>
  </si>
  <si>
    <t xml:space="preserve">Market Range High</t>
  </si>
  <si>
    <t xml:space="preserve">Offer Range Low</t>
  </si>
  <si>
    <t xml:space="preserve">Offer Range High</t>
  </si>
  <si>
    <t xml:space="preserve">Phase 0</t>
  </si>
  <si>
    <t xml:space="preserve">Style sprint / 3 iterations</t>
  </si>
  <si>
    <t xml:space="preserve">Phase 1</t>
  </si>
  <si>
    <t xml:space="preserve">Base launch site + SEO + analytics + storefront</t>
  </si>
  <si>
    <t xml:space="preserve">Phase 2</t>
  </si>
  <si>
    <t xml:space="preserve">CMS + blog + approval workflow foundation</t>
  </si>
  <si>
    <t xml:space="preserve">Phase 3</t>
  </si>
  <si>
    <t xml:space="preserve">Affiliate + catalog + advanced integrations</t>
  </si>
  <si>
    <t xml:space="preserve">Totals</t>
  </si>
  <si>
    <t xml:space="preserve">Deliverable</t>
  </si>
  <si>
    <t xml:space="preserve">Qty</t>
  </si>
  <si>
    <t xml:space="preserve">Unit</t>
  </si>
  <si>
    <t xml:space="preserve">Unit Price</t>
  </si>
  <si>
    <t xml:space="preserve">Subtotal</t>
  </si>
  <si>
    <t xml:space="preserve">Style sprint and 3 visual iterations</t>
  </si>
  <si>
    <t xml:space="preserve">fixed</t>
  </si>
  <si>
    <t xml:space="preserve">Direction lock only</t>
  </si>
  <si>
    <t xml:space="preserve">Responsive website launch package</t>
  </si>
  <si>
    <t xml:space="preserve">Includes SEO base, analytics, storefront</t>
  </si>
  <si>
    <t xml:space="preserve">Admin, blog, SEO editing, approval gates</t>
  </si>
  <si>
    <t xml:space="preserve">Affiliate + catalog + advanced integration foundation</t>
  </si>
  <si>
    <t xml:space="preserve">Future-phase expansion</t>
  </si>
  <si>
    <t xml:space="preserve">Optional Retainer</t>
  </si>
  <si>
    <t xml:space="preserve">Support / optimization / change requests</t>
  </si>
  <si>
    <t xml:space="preserve">monthly</t>
  </si>
  <si>
    <t xml:space="preserve">Not included in project total</t>
  </si>
  <si>
    <t xml:space="preserve">Project Total (Phases 0-3)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</si>
</sst>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1"/>
    <col collapsed="false" customWidth="true" hidden="false" outlineLevel="0" max="3" min="3" style="0" width="22"/>
    <col collapsed="false" customWidth="true" hidden="false" outlineLevel="0" max="4" min="4" style="0" width="23"/>
    <col collapsed="false" customWidth="true" hidden="false" outlineLevel="0" max="5" min="5" style="0" width="24"/>
    <col collapsed="false" customWidth="true" hidden="false" outlineLevel="0" max="6" min="6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3" t="n">
        <v>85</v>
      </c>
      <c r="C2" s="3" t="n">
        <v>145</v>
      </c>
      <c r="D2" s="3" t="n">
        <v>70</v>
      </c>
      <c r="E2" s="3" t="n">
        <v>115</v>
      </c>
      <c r="F2" s="2" t="s">
        <v>7</v>
      </c>
    </row>
    <row r="3" customFormat="false" ht="15" hidden="false" customHeight="false" outlineLevel="0" collapsed="false">
      <c r="A3" s="2" t="s">
        <v>8</v>
      </c>
      <c r="B3" s="3" t="n">
        <v>90</v>
      </c>
      <c r="C3" s="3" t="n">
        <v>149</v>
      </c>
      <c r="D3" s="3" t="n">
        <v>70</v>
      </c>
      <c r="E3" s="3" t="n">
        <v>110</v>
      </c>
      <c r="F3" s="2" t="s">
        <v>9</v>
      </c>
    </row>
    <row r="4" customFormat="false" ht="15" hidden="false" customHeight="false" outlineLevel="0" collapsed="false">
      <c r="A4" s="2" t="s">
        <v>10</v>
      </c>
      <c r="B4" s="3" t="n">
        <v>60</v>
      </c>
      <c r="C4" s="3" t="n">
        <v>125</v>
      </c>
      <c r="D4" s="3" t="n">
        <v>55</v>
      </c>
      <c r="E4" s="3" t="n">
        <v>95</v>
      </c>
      <c r="F4" s="2" t="s">
        <v>11</v>
      </c>
    </row>
    <row r="5" customFormat="false" ht="15" hidden="false" customHeight="false" outlineLevel="0" collapsed="false">
      <c r="A5" s="2" t="s">
        <v>12</v>
      </c>
      <c r="B5" s="3" t="n">
        <v>75</v>
      </c>
      <c r="C5" s="3" t="n">
        <v>135</v>
      </c>
      <c r="D5" s="3" t="n">
        <v>65</v>
      </c>
      <c r="E5" s="3" t="n">
        <v>105</v>
      </c>
      <c r="F5" s="2" t="s">
        <v>13</v>
      </c>
    </row>
    <row r="6" customFormat="false" ht="15" hidden="false" customHeight="false" outlineLevel="0" collapsed="false">
      <c r="A6" s="2" t="s">
        <v>14</v>
      </c>
      <c r="B6" s="3" t="n">
        <v>75</v>
      </c>
      <c r="C6" s="3" t="n">
        <v>150</v>
      </c>
      <c r="D6" s="3" t="n">
        <v>65</v>
      </c>
      <c r="E6" s="3" t="n">
        <v>115</v>
      </c>
      <c r="F6" s="2" t="s">
        <v>15</v>
      </c>
    </row>
    <row r="7" customFormat="false" ht="15" hidden="false" customHeight="false" outlineLevel="0" collapsed="false">
      <c r="A7" s="2" t="s">
        <v>16</v>
      </c>
      <c r="B7" s="3" t="n">
        <v>50</v>
      </c>
      <c r="C7" s="3" t="n">
        <v>100</v>
      </c>
      <c r="D7" s="3" t="n">
        <v>45</v>
      </c>
      <c r="E7" s="3" t="n">
        <v>80</v>
      </c>
      <c r="F7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7"/>
    <col collapsed="false" customWidth="true" hidden="false" outlineLevel="0" max="5" min="5" style="0" width="21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19"/>
    <col collapsed="false" customWidth="true" hidden="false" outlineLevel="0" max="9" min="9" style="0" width="17"/>
    <col collapsed="false" customWidth="true" hidden="false" outlineLevel="0" max="10" min="10" style="0" width="18"/>
  </cols>
  <sheetData>
    <row r="1" customFormat="false" ht="15" hidden="false" customHeight="false" outlineLevel="0" collapsed="false">
      <c r="A1" s="1" t="s">
        <v>18</v>
      </c>
      <c r="B1" s="1" t="s">
        <v>0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customFormat="false" ht="15" hidden="false" customHeight="false" outlineLevel="0" collapsed="false">
      <c r="A2" s="2" t="s">
        <v>27</v>
      </c>
      <c r="B2" s="2" t="s">
        <v>28</v>
      </c>
      <c r="C2" s="2" t="n">
        <v>8</v>
      </c>
      <c r="D2" s="2" t="n">
        <v>14</v>
      </c>
      <c r="E2" s="3" t="n">
        <v>110</v>
      </c>
      <c r="F2" s="3" t="n">
        <v>85</v>
      </c>
      <c r="G2" s="3" t="n">
        <f aca="false">C2*E2</f>
        <v>880</v>
      </c>
      <c r="H2" s="3" t="n">
        <f aca="false">D2*E2</f>
        <v>1540</v>
      </c>
      <c r="I2" s="3" t="n">
        <f aca="false">C2*F2</f>
        <v>680</v>
      </c>
      <c r="J2" s="3" t="n">
        <f aca="false">D2*F2</f>
        <v>1190</v>
      </c>
    </row>
    <row r="3" customFormat="false" ht="15" hidden="false" customHeight="false" outlineLevel="0" collapsed="false">
      <c r="A3" s="2" t="s">
        <v>29</v>
      </c>
      <c r="B3" s="2" t="s">
        <v>30</v>
      </c>
      <c r="C3" s="2" t="n">
        <v>36</v>
      </c>
      <c r="D3" s="2" t="n">
        <v>52</v>
      </c>
      <c r="E3" s="3" t="n">
        <v>100</v>
      </c>
      <c r="F3" s="3" t="n">
        <v>78</v>
      </c>
      <c r="G3" s="3" t="n">
        <f aca="false">C3*E3</f>
        <v>3600</v>
      </c>
      <c r="H3" s="3" t="n">
        <f aca="false">D3*E3</f>
        <v>5200</v>
      </c>
      <c r="I3" s="3" t="n">
        <f aca="false">C3*F3</f>
        <v>2808</v>
      </c>
      <c r="J3" s="3" t="n">
        <f aca="false">D3*F3</f>
        <v>4056</v>
      </c>
    </row>
    <row r="4" customFormat="false" ht="15" hidden="false" customHeight="false" outlineLevel="0" collapsed="false">
      <c r="A4" s="2" t="s">
        <v>31</v>
      </c>
      <c r="B4" s="2" t="s">
        <v>32</v>
      </c>
      <c r="C4" s="2" t="n">
        <v>48</v>
      </c>
      <c r="D4" s="2" t="n">
        <v>72</v>
      </c>
      <c r="E4" s="3" t="n">
        <v>105</v>
      </c>
      <c r="F4" s="3" t="n">
        <v>82</v>
      </c>
      <c r="G4" s="3" t="n">
        <f aca="false">C4*E4</f>
        <v>5040</v>
      </c>
      <c r="H4" s="3" t="n">
        <f aca="false">D4*E4</f>
        <v>7560</v>
      </c>
      <c r="I4" s="3" t="n">
        <f aca="false">C4*F4</f>
        <v>3936</v>
      </c>
      <c r="J4" s="3" t="n">
        <f aca="false">D4*F4</f>
        <v>5904</v>
      </c>
    </row>
    <row r="5" customFormat="false" ht="15" hidden="false" customHeight="false" outlineLevel="0" collapsed="false">
      <c r="A5" s="2" t="s">
        <v>33</v>
      </c>
      <c r="B5" s="2" t="s">
        <v>34</v>
      </c>
      <c r="C5" s="2" t="n">
        <v>55</v>
      </c>
      <c r="D5" s="2" t="n">
        <v>88</v>
      </c>
      <c r="E5" s="3" t="n">
        <v>110</v>
      </c>
      <c r="F5" s="3" t="n">
        <v>88</v>
      </c>
      <c r="G5" s="3" t="n">
        <f aca="false">C5*E5</f>
        <v>6050</v>
      </c>
      <c r="H5" s="3" t="n">
        <f aca="false">D5*E5</f>
        <v>9680</v>
      </c>
      <c r="I5" s="3" t="n">
        <f aca="false">C5*F5</f>
        <v>4840</v>
      </c>
      <c r="J5" s="3" t="n">
        <f aca="false">D5*F5</f>
        <v>7744</v>
      </c>
    </row>
    <row r="6" customFormat="false" ht="15" hidden="false" customHeight="false" outlineLevel="0" collapsed="false">
      <c r="A6" s="2"/>
      <c r="B6" s="2"/>
      <c r="C6" s="2"/>
      <c r="D6" s="2"/>
      <c r="E6" s="3"/>
      <c r="F6" s="4" t="s">
        <v>35</v>
      </c>
      <c r="G6" s="3" t="n">
        <f aca="false">SUM(G2:G5)</f>
        <v>15570</v>
      </c>
      <c r="H6" s="3" t="n">
        <f aca="false">SUM(H2:H5)</f>
        <v>23980</v>
      </c>
      <c r="I6" s="3" t="n">
        <f aca="false">SUM(I2:I5)</f>
        <v>12264</v>
      </c>
      <c r="J6" s="3" t="n">
        <f aca="false">SUM(J2:J5)</f>
        <v>18894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4"/>
    <col collapsed="false" customWidth="true" hidden="false" outlineLevel="0" max="5" min="3" style="0" width="12"/>
    <col collapsed="false" customWidth="true" hidden="false" outlineLevel="0" max="6" min="6" style="0" width="13"/>
    <col collapsed="false" customWidth="true" hidden="false" outlineLevel="0" max="7" min="7" style="0" width="34"/>
  </cols>
  <sheetData>
    <row r="1" customFormat="false" ht="15" hidden="false" customHeight="false" outlineLevel="0" collapsed="false">
      <c r="A1" s="1" t="s">
        <v>18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5</v>
      </c>
    </row>
    <row r="2" customFormat="false" ht="15" hidden="false" customHeight="false" outlineLevel="0" collapsed="false">
      <c r="A2" s="2" t="s">
        <v>27</v>
      </c>
      <c r="B2" s="2" t="s">
        <v>41</v>
      </c>
      <c r="C2" s="2" t="n">
        <v>1</v>
      </c>
      <c r="D2" s="2" t="s">
        <v>42</v>
      </c>
      <c r="E2" s="3" t="n">
        <v>950</v>
      </c>
      <c r="F2" s="3" t="n">
        <f aca="false">C2*E2</f>
        <v>950</v>
      </c>
      <c r="G2" s="2" t="s">
        <v>43</v>
      </c>
    </row>
    <row r="3" customFormat="false" ht="15" hidden="false" customHeight="false" outlineLevel="0" collapsed="false">
      <c r="A3" s="2" t="s">
        <v>29</v>
      </c>
      <c r="B3" s="2" t="s">
        <v>44</v>
      </c>
      <c r="C3" s="2" t="n">
        <v>1</v>
      </c>
      <c r="D3" s="2" t="s">
        <v>42</v>
      </c>
      <c r="E3" s="3" t="n">
        <v>4250</v>
      </c>
      <c r="F3" s="3" t="n">
        <f aca="false">C3*E3</f>
        <v>4250</v>
      </c>
      <c r="G3" s="2" t="s">
        <v>45</v>
      </c>
    </row>
    <row r="4" customFormat="false" ht="15" hidden="false" customHeight="false" outlineLevel="0" collapsed="false">
      <c r="A4" s="2" t="s">
        <v>31</v>
      </c>
      <c r="B4" s="2" t="s">
        <v>32</v>
      </c>
      <c r="C4" s="2" t="n">
        <v>1</v>
      </c>
      <c r="D4" s="2" t="s">
        <v>42</v>
      </c>
      <c r="E4" s="3" t="n">
        <v>6200</v>
      </c>
      <c r="F4" s="3" t="n">
        <f aca="false">C4*E4</f>
        <v>6200</v>
      </c>
      <c r="G4" s="2" t="s">
        <v>46</v>
      </c>
    </row>
    <row r="5" customFormat="false" ht="15" hidden="false" customHeight="false" outlineLevel="0" collapsed="false">
      <c r="A5" s="2" t="s">
        <v>33</v>
      </c>
      <c r="B5" s="2" t="s">
        <v>47</v>
      </c>
      <c r="C5" s="2" t="n">
        <v>1</v>
      </c>
      <c r="D5" s="2" t="s">
        <v>42</v>
      </c>
      <c r="E5" s="3" t="n">
        <v>7900</v>
      </c>
      <c r="F5" s="3" t="n">
        <f aca="false">C5*E5</f>
        <v>7900</v>
      </c>
      <c r="G5" s="2" t="s">
        <v>48</v>
      </c>
    </row>
    <row r="6" customFormat="false" ht="15" hidden="false" customHeight="false" outlineLevel="0" collapsed="false">
      <c r="A6" s="2" t="s">
        <v>49</v>
      </c>
      <c r="B6" s="2" t="s">
        <v>50</v>
      </c>
      <c r="C6" s="2" t="n">
        <v>1</v>
      </c>
      <c r="D6" s="2" t="s">
        <v>51</v>
      </c>
      <c r="E6" s="3" t="n">
        <v>1250</v>
      </c>
      <c r="F6" s="3" t="n">
        <f aca="false">C6*E6</f>
        <v>1250</v>
      </c>
      <c r="G6" s="2" t="s">
        <v>52</v>
      </c>
    </row>
    <row r="7" customFormat="false" ht="15" hidden="false" customHeight="false" outlineLevel="0" collapsed="false">
      <c r="A7" s="2" t="s">
        <v>53</v>
      </c>
      <c r="B7" s="2"/>
      <c r="C7" s="2"/>
      <c r="D7" s="2"/>
      <c r="E7" s="3"/>
      <c r="F7" s="3" t="n">
        <f aca="false">SUM(F2:F5)</f>
        <v>19300</v>
      </c>
      <c r="G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2026-04-10T21:16:33Z</dcterms:created>
  <dc:creator>openpyxl</dc:creator>
  <dc:description/>
  <dc:language>en-US</dc:language>
  <cp:lastModifiedBy/>
  <dcterms:modified xsi:type="dcterms:W3CDTF">2026-04-10T21:16:33Z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